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89343a90549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069c62f2b544d64"/>
    <x:sheet xmlns:r="http://schemas.openxmlformats.org/officeDocument/2006/relationships" name="สินค้า" sheetId="2" r:id="R3854618d583a4398"/>
    <x:sheet xmlns:r="http://schemas.openxmlformats.org/officeDocument/2006/relationships" name="โปรโมชั่น" sheetId="3" r:id="R1379bebb740441cc"/>
    <x:sheet xmlns:r="http://schemas.openxmlformats.org/officeDocument/2006/relationships" name="โต๊ะ" sheetId="4" r:id="Rc4cc83129baf4a2f"/>
    <x:sheet xmlns:r="http://schemas.openxmlformats.org/officeDocument/2006/relationships" name="ยอดขาย" sheetId="5" r:id="Rfa23af8948a143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฿#,##0"/>
  </x:numFmts>
  <x:fonts count="8">
    <x:font>
      <x:sz val="11"/>
      <x:name val="Carlito"/>
    </x:font>
    <x:font>
      <x:b/>
      <x:sz val="16"/>
      <x:color rgb="FF122345"/>
      <x:name val="Arial"/>
    </x:font>
    <x:font>
      <x:i/>
      <x:sz val="10"/>
      <x:color rgb="FF66738B"/>
      <x:name val="Arial"/>
    </x:font>
    <x:font>
      <x:b/>
      <x:sz val="10"/>
      <x:color rgb="FFFFFFFF"/>
      <x:name val="Arial"/>
    </x:font>
    <x:font>
      <x:b/>
      <x:sz val="11"/>
      <x:color rgb="FF122345"/>
      <x:name val="Arial"/>
    </x:font>
    <x:font>
      <x:b/>
      <x:sz val="14"/>
      <x:color rgb="FF153FDF"/>
      <x:name val="Arial"/>
    </x:font>
    <x:font>
      <x:i/>
      <x:sz val="9"/>
      <x:color rgb="FF66738B"/>
      <x:name val="Arial"/>
    </x:font>
    <x:font>
      <x:sz val="11"/>
      <x:color rgb="FF1427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3FDF"/>
      </x:patternFill>
    </x:fill>
    <x:fill>
      <x:patternFill patternType="solid">
        <x:fgColor rgb="FFDFF3FF"/>
      </x:patternFill>
    </x:fill>
  </x:fills>
  <x:borders count="7">
    <x:border/>
    <x:border>
      <x:left style="thin">
        <x:color rgb="FFCAD6E8"/>
      </x:left>
      <x:right style="thin">
        <x:color rgb="FFCAD6E8"/>
      </x:right>
      <x:top style="thin">
        <x:color rgb="FFCAD6E8"/>
      </x:top>
      <x:bottom style="thin">
        <x:color rgb="FFCAD6E8"/>
      </x:bottom>
    </x:border>
    <x:border>
      <x:left style="thin">
        <x:color rgb="FFCAD6E8"/>
      </x:left>
      <x:right style="thin">
        <x:color rgb="FFFFFFFF"/>
      </x:right>
      <x:top style="thin">
        <x:color rgb="FFCAD6E8"/>
      </x:top>
      <x:bottom style="medium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CAD6E8"/>
      </x:top>
      <x:bottom style="medium">
        <x:color rgb="FFFFFFFF"/>
      </x:bottom>
    </x:border>
    <x:border>
      <x:left style="thin">
        <x:color rgb="FFFFFFFF"/>
      </x:left>
      <x:right style="thin">
        <x:color rgb="FFCAD6E8"/>
      </x:right>
      <x:top style="thin">
        <x:color rgb="FFCAD6E8"/>
      </x:top>
      <x:bottom style="medium">
        <x:color rgb="FFFFFFFF"/>
      </x:bottom>
    </x:border>
    <x:border>
      <x:bottom style="thin">
        <x:color rgb="FFCFD8E8"/>
      </x:bottom>
    </x:border>
    <x:border>
      <x:top style="thin">
        <x:color rgb="FFCFD8E8"/>
      </x:top>
      <x:bottom style="thin">
        <x:color rgb="FFCFD8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201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20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200" fontId="7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201b5cb7204962" /><Relationship Type="http://schemas.openxmlformats.org/officeDocument/2006/relationships/theme" Target="/xl/theme/theme1.xml" Id="Rad02ee070a9146ee" /><Relationship Type="http://schemas.openxmlformats.org/officeDocument/2006/relationships/sharedStrings" Target="/xl/sharedStrings.xml" Id="R8f57226224cc4639" /><Relationship Type="http://schemas.openxmlformats.org/officeDocument/2006/relationships/worksheet" Target="/xl/worksheets/sheet1.xml" Id="Rd069c62f2b544d64" /><Relationship Type="http://schemas.openxmlformats.org/officeDocument/2006/relationships/worksheet" Target="/xl/worksheets/sheet2.xml" Id="R3854618d583a4398" /><Relationship Type="http://schemas.openxmlformats.org/officeDocument/2006/relationships/worksheet" Target="/xl/worksheets/sheet3.xml" Id="R1379bebb740441cc" /><Relationship Type="http://schemas.openxmlformats.org/officeDocument/2006/relationships/worksheet" Target="/xl/worksheets/sheet4.xml" Id="Rc4cc83129baf4a2f" /><Relationship Type="http://schemas.openxmlformats.org/officeDocument/2006/relationships/worksheet" Target="/xl/worksheets/sheet5.xml" Id="Rfa23af8948a143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8fdd486b4641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ยอดขายจำลองตามสินค้า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ยอดขาย (บาท)</c:v>
          </c:tx>
          <c:cat>
            <c:strRef>
              <c:f>'Dashboard'!$F$11:$F$14</c:f>
              <c:strCache>
                <c:ptCount val="0"/>
              </c:strCache>
            </c:strRef>
          </c:cat>
          <c:val>
            <c:numRef>
              <c:f>'Dashboard'!$G$11:$G$14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8fdd486b4641a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118d16107847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9" hidden="0" customWidth="1"/>
    <x:col min="3" max="3" width="19" hidden="0" customWidth="1"/>
    <x:col min="4" max="4" width="19" hidden="0" customWidth="1"/>
    <x:col min="5" max="5" width="5" hidden="0" customWidth="1"/>
    <x:col min="6" max="6" width="24" hidden="0" customWidth="1"/>
    <x:col min="7" max="7" width="18" hidden="0" customWidth="1"/>
  </x:cols>
  <x:sheetData>
    <x:row r="1" ht="23" customHeight="1">
      <x:c r="A1" s="1" t="str">
        <x:v>เกลือ TCG · Dashboard</x:v>
      </x:c>
    </x:row>
    <x:row r="2" ht="23" customHeight="1">
      <x:c r="A2" s="2" t="str">
        <x:v>ยอดขายจำลอง · ตัวเลขตรงกับหน้าแชทและ Dashboard บนเว็บ</x:v>
      </x:c>
    </x:row>
    <x:row r="4">
      <x:c r="A4" s="11" t="str">
        <x:v>ยอดขายรวม (บาท)</x:v>
      </x:c>
      <x:c r="B4" s="14" t="n">
        <x:f>SUM(ยอดขาย!F5:F16)</x:f>
        <x:v>51490</x:v>
      </x:c>
    </x:row>
    <x:row r="5">
      <x:c r="A5" s="11" t="str">
        <x:v>จำนวนชิ้น</x:v>
      </x:c>
      <x:c r="B5" s="13" t="n">
        <x:f>SUM(ยอดขาย!D5:D16)</x:f>
        <x:v>56</x:v>
      </x:c>
    </x:row>
    <x:row r="6">
      <x:c r="A6" s="11" t="str">
        <x:v>รายการขาย</x:v>
      </x:c>
      <x:c r="B6" s="12" t="n">
        <x:f>COUNTA(ยอดขาย!A5:A16)</x:f>
        <x:v>12</x:v>
      </x:c>
    </x:row>
    <x:row r="7">
      <x:c r="A7" s="11" t="str">
        <x:v>สินค้าขายดีที่สุด</x:v>
      </x:c>
      <x:c r="B7" s="12" t="str">
        <x:f>INDEX(สินค้า!C5:C8,MATCH(MAX(C12:C15),C12:C15,0))</x:f>
        <x:v>Destined Rivals</x:v>
      </x:c>
    </x:row>
    <x:row r="10" ht="25" customHeight="1">
      <x:c r="A10" s="19" t="str">
        <x:v>เกม</x:v>
      </x:c>
      <x:c r="B10" s="20" t="str">
        <x:v>สินค้า</x:v>
      </x:c>
      <x:c r="C10" s="20" t="str">
        <x:v>ขายได้ (ชิ้น)</x:v>
      </x:c>
      <x:c r="D10" s="21" t="str">
        <x:v>ยอดขาย (บาท)</x:v>
      </x:c>
      <x:c r="F10" s="6" t="str">
        <x:v>สินค้า</x:v>
      </x:c>
      <x:c r="G10" s="6" t="str">
        <x:v>ยอดขาย (บาท)</x:v>
      </x:c>
    </x:row>
    <x:row r="11">
      <x:c r="A11" s="17" t="str">
        <x:v>Pokémon</x:v>
      </x:c>
      <x:c r="B11" s="17" t="str">
        <x:v>Destined Rivals</x:v>
      </x:c>
      <x:c r="C11" s="18" t="n">
        <x:f>SUMIF(ยอดขาย!$B$5:$B$16,สินค้า!A5,ยอดขาย!$D$5:$D$16)</x:f>
        <x:v>5</x:v>
      </x:c>
      <x:c r="D11" s="18" t="n">
        <x:f>SUMIF(ยอดขาย!$B$5:$B$16,สินค้า!A5,ยอดขาย!$F$5:$F$16)</x:f>
        <x:v>29500</x:v>
      </x:c>
      <x:c r="F11" t="str">
        <x:v>Destined Rivals</x:v>
      </x:c>
      <x:c r="G11" s="7" t="n">
        <x:f>D11</x:f>
        <x:v>29500</x:v>
      </x:c>
    </x:row>
    <x:row r="12">
      <x:c r="A12" s="17" t="str">
        <x:v>ONE PIECE</x:v>
      </x:c>
      <x:c r="B12" s="17" t="str">
        <x:v>Romance Dawn [OP01]</x:v>
      </x:c>
      <x:c r="C12" s="18" t="n">
        <x:f>SUMIF(ยอดขาย!$B$5:$B$16,สินค้า!A6,ยอดขาย!$D$5:$D$16)</x:f>
        <x:v>36</x:v>
      </x:c>
      <x:c r="D12" s="18" t="n">
        <x:f>SUMIF(ยอดขาย!$B$5:$B$16,สินค้า!A6,ยอดขาย!$F$5:$F$16)</x:f>
        <x:v>6840</x:v>
      </x:c>
      <x:c r="F12" t="str">
        <x:v>Romance Dawn [OP01]</x:v>
      </x:c>
      <x:c r="G12" s="7" t="n">
        <x:f>D12</x:f>
        <x:v>6840</x:v>
      </x:c>
    </x:row>
    <x:row r="13">
      <x:c r="A13" s="17" t="str">
        <x:v>GUNDAM</x:v>
      </x:c>
      <x:c r="B13" s="17" t="str">
        <x:v>Heroic Beginnings [ST01]</x:v>
      </x:c>
      <x:c r="C13" s="18" t="n">
        <x:f>SUMIF(ยอดขาย!$B$5:$B$16,สินค้า!A7,ยอดขาย!$D$5:$D$16)</x:f>
        <x:v>12</x:v>
      </x:c>
      <x:c r="D13" s="18" t="n">
        <x:f>SUMIF(ยอดขาย!$B$5:$B$16,สินค้า!A7,ยอดขาย!$F$5:$F$16)</x:f>
        <x:v>8280</x:v>
      </x:c>
      <x:c r="F13" t="str">
        <x:v>Heroic Beginnings [ST01]</x:v>
      </x:c>
      <x:c r="G13" s="7" t="n">
        <x:f>D13</x:f>
        <x:v>8280</x:v>
      </x:c>
    </x:row>
    <x:row r="14">
      <x:c r="A14" s="17" t="str">
        <x:v>LORCANA</x:v>
      </x:c>
      <x:c r="B14" s="17" t="str">
        <x:v>The First Chapter — Starter Set</x:v>
      </x:c>
      <x:c r="C14" s="18" t="n">
        <x:f>SUMIF(ยอดขาย!$B$5:$B$16,สินค้า!A8,ยอดขาย!$D$5:$D$16)</x:f>
        <x:v>3</x:v>
      </x:c>
      <x:c r="D14" s="18" t="n">
        <x:f>SUMIF(ยอดขาย!$B$5:$B$16,สินค้า!A8,ยอดขาย!$F$5:$F$16)</x:f>
        <x:v>6870</x:v>
      </x:c>
      <x:c r="F14" t="str">
        <x:v>The First Chapter — Starter Set</x:v>
      </x:c>
      <x:c r="G14" s="7" t="n">
        <x:f>D14</x:f>
        <x:v>6870</x:v>
      </x:c>
    </x:row>
    <x:row r="17">
      <x:c r="A17" s="15" t="str">
        <x:v>หมายเหตุ: สินค้า/โปรโมชั่น/ยอดขาย/โต๊ะเป็นตัวอย่างแก้ไขได้ และไม่มีข้อมูลลูกค้าจริง</x:v>
      </x:c>
      <x:c r="B17" s="15"/>
      <x:c r="C17" s="15"/>
      <x:c r="D17" s="15"/>
      <x:c r="E17" s="15"/>
      <x:c r="F17" s="15"/>
      <x:c r="G17" s="15"/>
      <x:c r="H17" s="15"/>
    </x:row>
  </x:sheetData>
  <x:pageMargins left="0.7" right="0.7" top="0.75" bottom="0.75" header="0.3" footer="0.3"/>
  <x:drawing xmlns:r="http://schemas.openxmlformats.org/officeDocument/2006/relationships" r:id="Rd1118d16107847a5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36" hidden="0" customWidth="1"/>
    <x:col min="4" max="4" width="15" hidden="0" customWidth="1"/>
    <x:col min="5" max="5" width="13" hidden="0" customWidth="1"/>
    <x:col min="6" max="6" width="28" hidden="0" customWidth="1"/>
  </x:cols>
  <x:sheetData>
    <x:row r="1" ht="23" customHeight="1">
      <x:c r="A1" s="1" t="str">
        <x:v>สินค้าและราคา</x:v>
      </x:c>
    </x:row>
    <x:row r="2" ht="23" customHeight="1">
      <x:c r="A2" s="2" t="str">
        <x:v>ราคาและสต็อกเป็นข้อมูลตัวอย่างสำหรับเดโม</x:v>
      </x:c>
    </x:row>
    <x:row r="4" ht="25" customHeight="1">
      <x:c r="A4" s="6" t="str">
        <x:v>รหัส</x:v>
      </x:c>
      <x:c r="B4" s="6" t="str">
        <x:v>เกม</x:v>
      </x:c>
      <x:c r="C4" s="6" t="str">
        <x:v>สินค้า</x:v>
      </x:c>
      <x:c r="D4" s="6" t="str">
        <x:v>ราคา (บาท)</x:v>
      </x:c>
      <x:c r="E4" s="6" t="str">
        <x:v>สต็อก</x:v>
      </x:c>
      <x:c r="F4" s="6" t="str">
        <x:v>โปรโมชัน</x:v>
      </x:c>
    </x:row>
    <x:row r="5">
      <x:c r="A5" s="8" t="str">
        <x:v>pokemon</x:v>
      </x:c>
      <x:c r="B5" s="8" t="str">
        <x:v>Pokémon</x:v>
      </x:c>
      <x:c r="C5" s="8" t="str">
        <x:v>Destined Rivals</x:v>
      </x:c>
      <x:c r="D5" s="9" t="n">
        <x:v>5900</x:v>
      </x:c>
      <x:c r="E5" s="8" t="n">
        <x:v>6</x:v>
      </x:c>
      <x:c r="F5" s="8" t="str">
        <x:v>โปรเปิดเดโม ลด 5%</x:v>
      </x:c>
    </x:row>
    <x:row r="6">
      <x:c r="A6" s="8" t="str">
        <x:v>onepiece</x:v>
      </x:c>
      <x:c r="B6" s="8" t="str">
        <x:v>ONE PIECE</x:v>
      </x:c>
      <x:c r="C6" s="8" t="str">
        <x:v>Romance Dawn [OP01]</x:v>
      </x:c>
      <x:c r="D6" s="9" t="n">
        <x:v>190</x:v>
      </x:c>
      <x:c r="E6" s="8" t="n">
        <x:v>8</x:v>
      </x:c>
      <x:c r="F6" s="8" t="str">
        <x:v>ซื้อ 3 ซอง ลด 10%</x:v>
      </x:c>
    </x:row>
    <x:row r="7">
      <x:c r="A7" s="8" t="str">
        <x:v>gundam</x:v>
      </x:c>
      <x:c r="B7" s="8" t="str">
        <x:v>GUNDAM</x:v>
      </x:c>
      <x:c r="C7" s="8" t="str">
        <x:v>Heroic Beginnings [ST01]</x:v>
      </x:c>
      <x:c r="D7" s="9" t="n">
        <x:v>690</x:v>
      </x:c>
      <x:c r="E7" s="8" t="n">
        <x:v>12</x:v>
      </x:c>
      <x:c r="F7" s="8" t="str">
        <x:v>รับเดโมฟรีค่าห่อ</x:v>
      </x:c>
    </x:row>
    <x:row r="8">
      <x:c r="A8" s="8" t="str">
        <x:v>lorcana</x:v>
      </x:c>
      <x:c r="B8" s="8" t="str">
        <x:v>LORCANA</x:v>
      </x:c>
      <x:c r="C8" s="8" t="str">
        <x:v>The First Chapter — Starter Set</x:v>
      </x:c>
      <x:c r="D8" s="9" t="n">
        <x:v>2290</x:v>
      </x:c>
      <x:c r="E8" s="8" t="n">
        <x:v>4</x:v>
      </x:c>
      <x:c r="F8" s="8" t="str">
        <x:v>โปรเซ็ต ลด ฿200</x:v>
      </x:c>
    </x:row>
    <x:row r="9" ht="24" customHeight="1">
      <x:c r="A9" s="25" t="str">
        <x:v>pokemon-pack-demo</x:v>
      </x:c>
      <x:c r="B9" s="25" t="str">
        <x:v>Pokémon</x:v>
      </x:c>
      <x:c r="C9" s="25" t="str">
        <x:v>Booster Pack Demo A</x:v>
      </x:c>
      <x:c r="D9" s="26" t="n">
        <x:v>179</x:v>
      </x:c>
      <x:c r="E9" s="26" t="n">
        <x:v>24</x:v>
      </x:c>
      <x:c r="F9" s="25" t="str">
        <x:v>ไม่มีโปรโมชัน · ข้อมูลจำลอง</x:v>
      </x:c>
    </x:row>
    <x:row r="10" ht="24" customHeight="1">
      <x:c r="A10" s="27" t="str">
        <x:v>pokemon-deck-demo</x:v>
      </x:c>
      <x:c r="B10" s="27" t="str">
        <x:v>Pokémon</x:v>
      </x:c>
      <x:c r="C10" s="27" t="str">
        <x:v>Starter Deck Demo B</x:v>
      </x:c>
      <x:c r="D10" s="28" t="n">
        <x:v>590</x:v>
      </x:c>
      <x:c r="E10" s="28" t="n">
        <x:v>11</x:v>
      </x:c>
      <x:c r="F10" s="27" t="str">
        <x:v>ไม่มีโปรโมชัน · ข้อมูลจำลอง</x:v>
      </x:c>
    </x:row>
    <x:row r="11" ht="24" customHeight="1">
      <x:c r="A11" s="27" t="str">
        <x:v>onepiece-box-demo</x:v>
      </x:c>
      <x:c r="B11" s="27" t="str">
        <x:v>ONE PIECE</x:v>
      </x:c>
      <x:c r="C11" s="27" t="str">
        <x:v>Booster Box Demo A</x:v>
      </x:c>
      <x:c r="D11" s="28" t="n">
        <x:v>3990</x:v>
      </x:c>
      <x:c r="E11" s="28" t="n">
        <x:v>5</x:v>
      </x:c>
      <x:c r="F11" s="27" t="str">
        <x:v>ไม่มีโปรโมชัน · ข้อมูลจำลอง</x:v>
      </x:c>
    </x:row>
    <x:row r="12" ht="24" customHeight="1">
      <x:c r="A12" s="27" t="str">
        <x:v>onepiece-deck-demo</x:v>
      </x:c>
      <x:c r="B12" s="27" t="str">
        <x:v>ONE PIECE</x:v>
      </x:c>
      <x:c r="C12" s="27" t="str">
        <x:v>Starter Deck Demo B</x:v>
      </x:c>
      <x:c r="D12" s="28" t="n">
        <x:v>490</x:v>
      </x:c>
      <x:c r="E12" s="28" t="n">
        <x:v>14</x:v>
      </x:c>
      <x:c r="F12" s="27" t="str">
        <x:v>ไม่มีโปรโมชัน · ข้อมูลจำลอง</x:v>
      </x:c>
    </x:row>
    <x:row r="13" ht="24" customHeight="1">
      <x:c r="A13" s="27" t="str">
        <x:v>gundam-pack-demo</x:v>
      </x:c>
      <x:c r="B13" s="27" t="str">
        <x:v>GUNDAM</x:v>
      </x:c>
      <x:c r="C13" s="27" t="str">
        <x:v>Booster Pack Demo A</x:v>
      </x:c>
      <x:c r="D13" s="28" t="n">
        <x:v>159</x:v>
      </x:c>
      <x:c r="E13" s="28" t="n">
        <x:v>30</x:v>
      </x:c>
      <x:c r="F13" s="27" t="str">
        <x:v>ไม่มีโปรโมชัน · ข้อมูลจำลอง</x:v>
      </x:c>
    </x:row>
    <x:row r="14" ht="24" customHeight="1">
      <x:c r="A14" s="27" t="str">
        <x:v>gundam-deck-demo</x:v>
      </x:c>
      <x:c r="B14" s="27" t="str">
        <x:v>GUNDAM</x:v>
      </x:c>
      <x:c r="C14" s="27" t="str">
        <x:v>Starter Deck Demo B</x:v>
      </x:c>
      <x:c r="D14" s="28" t="n">
        <x:v>720</x:v>
      </x:c>
      <x:c r="E14" s="28" t="n">
        <x:v>9</x:v>
      </x:c>
      <x:c r="F14" s="27" t="str">
        <x:v>ไม่มีโปรโมชัน · ข้อมูลจำลอง</x:v>
      </x:c>
    </x:row>
    <x:row r="15" ht="24" customHeight="1">
      <x:c r="A15" s="27" t="str">
        <x:v>lorcana-pack-demo</x:v>
      </x:c>
      <x:c r="B15" s="27" t="str">
        <x:v>LORCANA</x:v>
      </x:c>
      <x:c r="C15" s="27" t="str">
        <x:v>Booster Pack Demo A</x:v>
      </x:c>
      <x:c r="D15" s="28" t="n">
        <x:v>220</x:v>
      </x:c>
      <x:c r="E15" s="28" t="n">
        <x:v>18</x:v>
      </x:c>
      <x:c r="F15" s="27" t="str">
        <x:v>ไม่มีโปรโมชัน · ข้อมูลจำลอง</x:v>
      </x:c>
    </x:row>
    <x:row r="16" ht="24" customHeight="1">
      <x:c r="A16" s="27" t="str">
        <x:v>lorcana-deck-demo</x:v>
      </x:c>
      <x:c r="B16" s="27" t="str">
        <x:v>LORCANA</x:v>
      </x:c>
      <x:c r="C16" s="27" t="str">
        <x:v>Starter Deck Demo B</x:v>
      </x:c>
      <x:c r="D16" s="28" t="n">
        <x:v>790</x:v>
      </x:c>
      <x:c r="E16" s="28" t="n">
        <x:v>7</x:v>
      </x:c>
      <x:c r="F16" s="27" t="str">
        <x:v>ไม่มีโปรโมชัน · ข้อมูลจำลอง</x:v>
      </x:c>
    </x:row>
    <x:row r="17" ht="24" customHeight="1">
      <x:c r="A17" s="27" t="str">
        <x:v>yugioh-pack-demo</x:v>
      </x:c>
      <x:c r="B17" s="27" t="str">
        <x:v>Yu-Gi-Oh!</x:v>
      </x:c>
      <x:c r="C17" s="27" t="str">
        <x:v>Booster Pack Demo A</x:v>
      </x:c>
      <x:c r="D17" s="28" t="n">
        <x:v>129</x:v>
      </x:c>
      <x:c r="E17" s="28" t="n">
        <x:v>26</x:v>
      </x:c>
      <x:c r="F17" s="27" t="str">
        <x:v>ไม่มีโปรโมชัน · ข้อมูลจำลอง</x:v>
      </x:c>
    </x:row>
    <x:row r="18" ht="24" customHeight="1">
      <x:c r="A18" s="27" t="str">
        <x:v>yugioh-deck-demo</x:v>
      </x:c>
      <x:c r="B18" s="27" t="str">
        <x:v>Yu-Gi-Oh!</x:v>
      </x:c>
      <x:c r="C18" s="27" t="str">
        <x:v>Starter Deck Demo B</x:v>
      </x:c>
      <x:c r="D18" s="28" t="n">
        <x:v>450</x:v>
      </x:c>
      <x:c r="E18" s="28" t="n">
        <x:v>13</x:v>
      </x:c>
      <x:c r="F18" s="27" t="str">
        <x:v>ไม่มีโปรโมชัน · ข้อมูลจำลอง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38" hidden="0" customWidth="1"/>
    <x:col min="4" max="4" width="24" hidden="0" customWidth="1"/>
    <x:col min="5" max="5" width="18" hidden="0" customWidth="1"/>
    <x:col min="6" max="6" width="18" hidden="0" customWidth="1"/>
  </x:cols>
  <x:sheetData>
    <x:row r="1" ht="23" customHeight="1">
      <x:c r="A1" s="1" t="str">
        <x:v>โปรโมชันตัวอย่าง</x:v>
      </x:c>
    </x:row>
    <x:row r="2" ht="23" customHeight="1">
      <x:c r="A2" s="2" t="str">
        <x:v>เงื่อนไขโปรแสดงเพื่อการสาธิตเท่านั้น</x:v>
      </x:c>
    </x:row>
    <x:row r="4" ht="25" customHeight="1">
      <x:c r="A4" s="6" t="str">
        <x:v>รหัสสินค้า</x:v>
      </x:c>
      <x:c r="B4" s="6" t="str">
        <x:v>เกม</x:v>
      </x:c>
      <x:c r="C4" s="6" t="str">
        <x:v>สินค้า</x:v>
      </x:c>
      <x:c r="D4" s="6" t="str">
        <x:v>รายละเอียดโปร</x:v>
      </x:c>
      <x:c r="E4" s="6" t="str">
        <x:v>ประเภท</x:v>
      </x:c>
      <x:c r="F4" s="6" t="str">
        <x:v>ค่า</x:v>
      </x:c>
    </x:row>
    <x:row r="5">
      <x:c r="A5" t="str">
        <x:v>pokemon</x:v>
      </x:c>
      <x:c r="B5" t="str">
        <x:v>Pokémon</x:v>
      </x:c>
      <x:c r="C5" t="str">
        <x:v>Destined Rivals</x:v>
      </x:c>
      <x:c r="D5" t="str">
        <x:v>โปรเปิดเดโม ลด 5%</x:v>
      </x:c>
      <x:c r="E5" t="str">
        <x:v>เปอร์เซ็นต์</x:v>
      </x:c>
      <x:c r="F5" s="7" t="n">
        <x:v>5</x:v>
      </x:c>
    </x:row>
    <x:row r="6">
      <x:c r="A6" t="str">
        <x:v>onepiece</x:v>
      </x:c>
      <x:c r="B6" t="str">
        <x:v>ONE PIECE</x:v>
      </x:c>
      <x:c r="C6" t="str">
        <x:v>Romance Dawn [OP01]</x:v>
      </x:c>
      <x:c r="D6" t="str">
        <x:v>ซื้อ 3 ซอง ลด 10%</x:v>
      </x:c>
      <x:c r="E6" t="str">
        <x:v>เปอร์เซ็นต์</x:v>
      </x:c>
      <x:c r="F6" s="7" t="n">
        <x:v>10</x:v>
      </x:c>
    </x:row>
    <x:row r="7">
      <x:c r="A7" t="str">
        <x:v>gundam</x:v>
      </x:c>
      <x:c r="B7" t="str">
        <x:v>GUNDAM</x:v>
      </x:c>
      <x:c r="C7" t="str">
        <x:v>Heroic Beginnings [ST01]</x:v>
      </x:c>
      <x:c r="D7" t="str">
        <x:v>รับเดโมฟรีค่าห่อ</x:v>
      </x:c>
      <x:c r="E7" t="str">
        <x:v>สิทธิพิเศษ</x:v>
      </x:c>
      <x:c r="F7" s="7" t="n">
        <x:v>0</x:v>
      </x:c>
    </x:row>
    <x:row r="8">
      <x:c r="A8" t="str">
        <x:v>lorcana</x:v>
      </x:c>
      <x:c r="B8" t="str">
        <x:v>LORCANA</x:v>
      </x:c>
      <x:c r="C8" t="str">
        <x:v>The First Chapter — Starter Set</x:v>
      </x:c>
      <x:c r="D8" t="str">
        <x:v>โปรเซ็ต ลด ฿200</x:v>
      </x:c>
      <x:c r="E8" t="str">
        <x:v>ส่วนลดคงที่</x:v>
      </x:c>
      <x:c r="F8" s="7" t="n">
        <x:v>200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20" hidden="0" customWidth="1"/>
    <x:col min="5" max="5" width="16" hidden="0" customWidth="1"/>
  </x:cols>
  <x:sheetData>
    <x:row r="1" ht="23" customHeight="1">
      <x:c r="A1" s="1" t="str">
        <x:v>สถานะโต๊ะตัวอย่าง</x:v>
      </x:c>
    </x:row>
    <x:row r="2" ht="23" customHeight="1">
      <x:c r="A2" s="2" t="str">
        <x:v>รอบละ 2 ชั่วโมง · สถานะตัวอย่างตั้งต้น 6 ตุลาคม 2026</x:v>
      </x:c>
    </x:row>
    <x:row r="4" ht="25" customHeight="1">
      <x:c r="A4" s="6" t="str">
        <x:v>วันที่</x:v>
      </x:c>
      <x:c r="B4" s="6" t="str">
        <x:v>รอบ</x:v>
      </x:c>
      <x:c r="C4" s="6" t="str">
        <x:v>โต๊ะ</x:v>
      </x:c>
      <x:c r="D4" s="6" t="str">
        <x:v>สถานะ</x:v>
      </x:c>
      <x:c r="E4" s="6" t="str">
        <x:v>ที่นั่ง</x:v>
      </x:c>
    </x:row>
    <x:row r="5">
      <x:c r="A5" t="str">
        <x:v>2026-10-06</x:v>
      </x:c>
      <x:c r="B5" t="str">
        <x:v>14:00–16:00</x:v>
      </x:c>
      <x:c r="C5" t="str">
        <x:v>โต๊ะ 01</x:v>
      </x:c>
      <x:c r="D5" t="str">
        <x:v>ว่าง</x:v>
      </x:c>
      <x:c r="E5" t="n">
        <x:v>4</x:v>
      </x:c>
    </x:row>
    <x:row r="6">
      <x:c r="A6" t="str">
        <x:v>2026-10-06</x:v>
      </x:c>
      <x:c r="B6" t="str">
        <x:v>14:00–16:00</x:v>
      </x:c>
      <x:c r="C6" t="str">
        <x:v>โต๊ะ 02</x:v>
      </x:c>
      <x:c r="D6" t="str">
        <x:v>ว่าง</x:v>
      </x:c>
      <x:c r="E6" t="n">
        <x:v>4</x:v>
      </x:c>
    </x:row>
    <x:row r="7">
      <x:c r="A7" t="str">
        <x:v>2026-10-06</x:v>
      </x:c>
      <x:c r="B7" t="str">
        <x:v>14:00–16:00</x:v>
      </x:c>
      <x:c r="C7" t="str">
        <x:v>โต๊ะ 03</x:v>
      </x:c>
      <x:c r="D7" t="str">
        <x:v>ไม่ว่าง</x:v>
      </x:c>
      <x:c r="E7" t="n">
        <x:v>4</x:v>
      </x:c>
    </x:row>
    <x:row r="8">
      <x:c r="A8" t="str">
        <x:v>2026-10-06</x:v>
      </x:c>
      <x:c r="B8" t="str">
        <x:v>14:00–16:00</x:v>
      </x:c>
      <x:c r="C8" t="str">
        <x:v>โต๊ะ 04</x:v>
      </x:c>
      <x:c r="D8" t="str">
        <x:v>ว่าง</x:v>
      </x:c>
      <x:c r="E8" t="n">
        <x:v>4</x:v>
      </x:c>
    </x:row>
    <x:row r="9">
      <x:c r="A9" t="str">
        <x:v>2026-10-06</x:v>
      </x:c>
      <x:c r="B9" t="str">
        <x:v>14:00–16:00</x:v>
      </x:c>
      <x:c r="C9" t="str">
        <x:v>โต๊ะ 05</x:v>
      </x:c>
      <x:c r="D9" t="str">
        <x:v>ว่าง</x:v>
      </x:c>
      <x:c r="E9" t="n">
        <x:v>4</x:v>
      </x:c>
    </x:row>
    <x:row r="10">
      <x:c r="A10" t="str">
        <x:v>2026-10-06</x:v>
      </x:c>
      <x:c r="B10" t="str">
        <x:v>14:00–16:00</x:v>
      </x:c>
      <x:c r="C10" t="str">
        <x:v>โต๊ะ 06</x:v>
      </x:c>
      <x:c r="D10" t="str">
        <x:v>ว่าง</x:v>
      </x:c>
      <x:c r="E10" t="n">
        <x:v>4</x:v>
      </x:c>
    </x:row>
    <x:row r="11">
      <x:c r="A11" t="str">
        <x:v>2026-10-06</x:v>
      </x:c>
      <x:c r="B11" t="str">
        <x:v>14:00–16:00</x:v>
      </x:c>
      <x:c r="C11" t="str">
        <x:v>โต๊ะ 07</x:v>
      </x:c>
      <x:c r="D11" t="str">
        <x:v>ไม่ว่าง</x:v>
      </x:c>
      <x:c r="E11" t="n">
        <x:v>4</x:v>
      </x:c>
    </x:row>
    <x:row r="12">
      <x:c r="A12" t="str">
        <x:v>2026-10-06</x:v>
      </x:c>
      <x:c r="B12" t="str">
        <x:v>14:00–16:00</x:v>
      </x:c>
      <x:c r="C12" t="str">
        <x:v>โต๊ะ 08</x:v>
      </x:c>
      <x:c r="D12" t="str">
        <x:v>ว่าง</x:v>
      </x:c>
      <x:c r="E12" t="n">
        <x:v>4</x:v>
      </x:c>
    </x:row>
    <x:row r="13">
      <x:c r="A13" t="str">
        <x:v>2026-10-06</x:v>
      </x:c>
      <x:c r="B13" t="str">
        <x:v>16:00–18:00</x:v>
      </x:c>
      <x:c r="C13" t="str">
        <x:v>โต๊ะ 01</x:v>
      </x:c>
      <x:c r="D13" t="str">
        <x:v>ไม่ว่าง</x:v>
      </x:c>
      <x:c r="E13" t="n">
        <x:v>4</x:v>
      </x:c>
    </x:row>
    <x:row r="14">
      <x:c r="A14" t="str">
        <x:v>2026-10-06</x:v>
      </x:c>
      <x:c r="B14" t="str">
        <x:v>16:00–18:00</x:v>
      </x:c>
      <x:c r="C14" t="str">
        <x:v>โต๊ะ 02</x:v>
      </x:c>
      <x:c r="D14" t="str">
        <x:v>ว่าง</x:v>
      </x:c>
      <x:c r="E14" t="n">
        <x:v>4</x:v>
      </x:c>
    </x:row>
    <x:row r="15">
      <x:c r="A15" t="str">
        <x:v>2026-10-06</x:v>
      </x:c>
      <x:c r="B15" t="str">
        <x:v>16:00–18:00</x:v>
      </x:c>
      <x:c r="C15" t="str">
        <x:v>โต๊ะ 03</x:v>
      </x:c>
      <x:c r="D15" t="str">
        <x:v>ว่าง</x:v>
      </x:c>
      <x:c r="E15" t="n">
        <x:v>4</x:v>
      </x:c>
    </x:row>
    <x:row r="16">
      <x:c r="A16" t="str">
        <x:v>2026-10-06</x:v>
      </x:c>
      <x:c r="B16" t="str">
        <x:v>16:00–18:00</x:v>
      </x:c>
      <x:c r="C16" t="str">
        <x:v>โต๊ะ 04</x:v>
      </x:c>
      <x:c r="D16" t="str">
        <x:v>ไม่ว่าง</x:v>
      </x:c>
      <x:c r="E16" t="n">
        <x:v>4</x:v>
      </x:c>
    </x:row>
    <x:row r="17">
      <x:c r="A17" t="str">
        <x:v>2026-10-06</x:v>
      </x:c>
      <x:c r="B17" t="str">
        <x:v>16:00–18:00</x:v>
      </x:c>
      <x:c r="C17" t="str">
        <x:v>โต๊ะ 05</x:v>
      </x:c>
      <x:c r="D17" t="str">
        <x:v>ว่าง</x:v>
      </x:c>
      <x:c r="E17" t="n">
        <x:v>4</x:v>
      </x:c>
    </x:row>
    <x:row r="18">
      <x:c r="A18" t="str">
        <x:v>2026-10-06</x:v>
      </x:c>
      <x:c r="B18" t="str">
        <x:v>16:00–18:00</x:v>
      </x:c>
      <x:c r="C18" t="str">
        <x:v>โต๊ะ 06</x:v>
      </x:c>
      <x:c r="D18" t="str">
        <x:v>ไม่ว่าง</x:v>
      </x:c>
      <x:c r="E18" t="n">
        <x:v>4</x:v>
      </x:c>
    </x:row>
    <x:row r="19">
      <x:c r="A19" t="str">
        <x:v>2026-10-06</x:v>
      </x:c>
      <x:c r="B19" t="str">
        <x:v>16:00–18:00</x:v>
      </x:c>
      <x:c r="C19" t="str">
        <x:v>โต๊ะ 07</x:v>
      </x:c>
      <x:c r="D19" t="str">
        <x:v>ว่าง</x:v>
      </x:c>
      <x:c r="E19" t="n">
        <x:v>4</x:v>
      </x:c>
    </x:row>
    <x:row r="20">
      <x:c r="A20" t="str">
        <x:v>2026-10-06</x:v>
      </x:c>
      <x:c r="B20" t="str">
        <x:v>16:00–18:00</x:v>
      </x:c>
      <x:c r="C20" t="str">
        <x:v>โต๊ะ 08</x:v>
      </x:c>
      <x:c r="D20" t="str">
        <x:v>ว่าง</x:v>
      </x:c>
      <x:c r="E20" t="n">
        <x:v>4</x:v>
      </x:c>
    </x:row>
    <x:row r="21">
      <x:c r="A21" t="str">
        <x:v>2026-10-06</x:v>
      </x:c>
      <x:c r="B21" t="str">
        <x:v>18:00–20:00</x:v>
      </x:c>
      <x:c r="C21" t="str">
        <x:v>โต๊ะ 01</x:v>
      </x:c>
      <x:c r="D21" t="str">
        <x:v>ว่าง</x:v>
      </x:c>
      <x:c r="E21" t="n">
        <x:v>4</x:v>
      </x:c>
    </x:row>
    <x:row r="22">
      <x:c r="A22" t="str">
        <x:v>2026-10-06</x:v>
      </x:c>
      <x:c r="B22" t="str">
        <x:v>18:00–20:00</x:v>
      </x:c>
      <x:c r="C22" t="str">
        <x:v>โต๊ะ 02</x:v>
      </x:c>
      <x:c r="D22" t="str">
        <x:v>ไม่ว่าง</x:v>
      </x:c>
      <x:c r="E22" t="n">
        <x:v>4</x:v>
      </x:c>
    </x:row>
    <x:row r="23">
      <x:c r="A23" t="str">
        <x:v>2026-10-06</x:v>
      </x:c>
      <x:c r="B23" t="str">
        <x:v>18:00–20:00</x:v>
      </x:c>
      <x:c r="C23" t="str">
        <x:v>โต๊ะ 03</x:v>
      </x:c>
      <x:c r="D23" t="str">
        <x:v>ไม่ว่าง</x:v>
      </x:c>
      <x:c r="E23" t="n">
        <x:v>4</x:v>
      </x:c>
    </x:row>
    <x:row r="24">
      <x:c r="A24" t="str">
        <x:v>2026-10-06</x:v>
      </x:c>
      <x:c r="B24" t="str">
        <x:v>18:00–20:00</x:v>
      </x:c>
      <x:c r="C24" t="str">
        <x:v>โต๊ะ 04</x:v>
      </x:c>
      <x:c r="D24" t="str">
        <x:v>ว่าง</x:v>
      </x:c>
      <x:c r="E24" t="n">
        <x:v>4</x:v>
      </x:c>
    </x:row>
    <x:row r="25">
      <x:c r="A25" t="str">
        <x:v>2026-10-06</x:v>
      </x:c>
      <x:c r="B25" t="str">
        <x:v>18:00–20:00</x:v>
      </x:c>
      <x:c r="C25" t="str">
        <x:v>โต๊ะ 05</x:v>
      </x:c>
      <x:c r="D25" t="str">
        <x:v>ไม่ว่าง</x:v>
      </x:c>
      <x:c r="E25" t="n">
        <x:v>4</x:v>
      </x:c>
    </x:row>
    <x:row r="26">
      <x:c r="A26" t="str">
        <x:v>2026-10-06</x:v>
      </x:c>
      <x:c r="B26" t="str">
        <x:v>18:00–20:00</x:v>
      </x:c>
      <x:c r="C26" t="str">
        <x:v>โต๊ะ 06</x:v>
      </x:c>
      <x:c r="D26" t="str">
        <x:v>ว่าง</x:v>
      </x:c>
      <x:c r="E26" t="n">
        <x:v>4</x:v>
      </x:c>
    </x:row>
    <x:row r="27">
      <x:c r="A27" t="str">
        <x:v>2026-10-06</x:v>
      </x:c>
      <x:c r="B27" t="str">
        <x:v>18:00–20:00</x:v>
      </x:c>
      <x:c r="C27" t="str">
        <x:v>โต๊ะ 07</x:v>
      </x:c>
      <x:c r="D27" t="str">
        <x:v>ว่าง</x:v>
      </x:c>
      <x:c r="E27" t="n">
        <x:v>4</x:v>
      </x:c>
    </x:row>
    <x:row r="28">
      <x:c r="A28" t="str">
        <x:v>2026-10-06</x:v>
      </x:c>
      <x:c r="B28" t="str">
        <x:v>18:00–20:00</x:v>
      </x:c>
      <x:c r="C28" t="str">
        <x:v>โต๊ะ 08</x:v>
      </x:c>
      <x:c r="D28" t="str">
        <x:v>ไม่ว่าง</x:v>
      </x:c>
      <x:c r="E28" t="n">
        <x:v>4</x:v>
      </x:c>
    </x:row>
    <x:row r="29">
      <x:c r="A29" t="str">
        <x:v>2026-10-06</x:v>
      </x:c>
      <x:c r="B29" t="str">
        <x:v>20:00–22:00</x:v>
      </x:c>
      <x:c r="C29" t="str">
        <x:v>โต๊ะ 01</x:v>
      </x:c>
      <x:c r="D29" t="str">
        <x:v>ไม่ว่าง</x:v>
      </x:c>
      <x:c r="E29" t="n">
        <x:v>4</x:v>
      </x:c>
    </x:row>
    <x:row r="30">
      <x:c r="A30" t="str">
        <x:v>2026-10-06</x:v>
      </x:c>
      <x:c r="B30" t="str">
        <x:v>20:00–22:00</x:v>
      </x:c>
      <x:c r="C30" t="str">
        <x:v>โต๊ะ 02</x:v>
      </x:c>
      <x:c r="D30" t="str">
        <x:v>ไม่ว่าง</x:v>
      </x:c>
      <x:c r="E30" t="n">
        <x:v>4</x:v>
      </x:c>
    </x:row>
    <x:row r="31">
      <x:c r="A31" t="str">
        <x:v>2026-10-06</x:v>
      </x:c>
      <x:c r="B31" t="str">
        <x:v>20:00–22:00</x:v>
      </x:c>
      <x:c r="C31" t="str">
        <x:v>โต๊ะ 03</x:v>
      </x:c>
      <x:c r="D31" t="str">
        <x:v>ไม่ว่าง</x:v>
      </x:c>
      <x:c r="E31" t="n">
        <x:v>4</x:v>
      </x:c>
    </x:row>
    <x:row r="32">
      <x:c r="A32" t="str">
        <x:v>2026-10-06</x:v>
      </x:c>
      <x:c r="B32" t="str">
        <x:v>20:00–22:00</x:v>
      </x:c>
      <x:c r="C32" t="str">
        <x:v>โต๊ะ 04</x:v>
      </x:c>
      <x:c r="D32" t="str">
        <x:v>ไม่ว่าง</x:v>
      </x:c>
      <x:c r="E32" t="n">
        <x:v>4</x:v>
      </x:c>
    </x:row>
    <x:row r="33">
      <x:c r="A33" t="str">
        <x:v>2026-10-06</x:v>
      </x:c>
      <x:c r="B33" t="str">
        <x:v>20:00–22:00</x:v>
      </x:c>
      <x:c r="C33" t="str">
        <x:v>โต๊ะ 05</x:v>
      </x:c>
      <x:c r="D33" t="str">
        <x:v>ไม่ว่าง</x:v>
      </x:c>
      <x:c r="E33" t="n">
        <x:v>4</x:v>
      </x:c>
    </x:row>
    <x:row r="34">
      <x:c r="A34" t="str">
        <x:v>2026-10-06</x:v>
      </x:c>
      <x:c r="B34" t="str">
        <x:v>20:00–22:00</x:v>
      </x:c>
      <x:c r="C34" t="str">
        <x:v>โต๊ะ 06</x:v>
      </x:c>
      <x:c r="D34" t="str">
        <x:v>ไม่ว่าง</x:v>
      </x:c>
      <x:c r="E34" t="n">
        <x:v>4</x:v>
      </x:c>
    </x:row>
    <x:row r="35">
      <x:c r="A35" t="str">
        <x:v>2026-10-06</x:v>
      </x:c>
      <x:c r="B35" t="str">
        <x:v>20:00–22:00</x:v>
      </x:c>
      <x:c r="C35" t="str">
        <x:v>โต๊ะ 07</x:v>
      </x:c>
      <x:c r="D35" t="str">
        <x:v>ไม่ว่าง</x:v>
      </x:c>
      <x:c r="E35" t="n">
        <x:v>4</x:v>
      </x:c>
    </x:row>
    <x:row r="36">
      <x:c r="A36" t="str">
        <x:v>2026-10-06</x:v>
      </x:c>
      <x:c r="B36" t="str">
        <x:v>20:00–22:00</x:v>
      </x:c>
      <x:c r="C36" t="str">
        <x:v>โต๊ะ 08</x:v>
      </x:c>
      <x:c r="D36" t="str">
        <x:v>ไม่ว่าง</x:v>
      </x:c>
      <x:c r="E36" t="n">
        <x:v>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34" hidden="0" customWidth="1"/>
    <x:col min="4" max="4" width="16" hidden="0" customWidth="1"/>
    <x:col min="5" max="5" width="15" hidden="0" customWidth="1"/>
    <x:col min="6" max="6" width="18" hidden="0" customWidth="1"/>
    <x:col min="7" max="7" width="18" hidden="0" customWidth="1"/>
  </x:cols>
  <x:sheetData>
    <x:row r="1" ht="23" customHeight="1">
      <x:c r="A1" s="1" t="str">
        <x:v>รายการขายจำลอง</x:v>
      </x:c>
    </x:row>
    <x:row r="2" ht="23" customHeight="1">
      <x:c r="A2" s="2" t="str">
        <x:v>ตัวอย่าง 30 วันล่าสุด · ข้อมูลสมมติ ไม่ใช่รายการซื้อจริง</x:v>
      </x:c>
    </x:row>
    <x:row r="4" ht="25" customHeight="1">
      <x:c r="A4" s="6" t="str">
        <x:v>วันที่</x:v>
      </x:c>
      <x:c r="B4" s="6" t="str">
        <x:v>รหัสสินค้า</x:v>
      </x:c>
      <x:c r="C4" s="6" t="str">
        <x:v>สินค้า</x:v>
      </x:c>
      <x:c r="D4" s="6" t="str">
        <x:v>จำนวน</x:v>
      </x:c>
      <x:c r="E4" s="6" t="str">
        <x:v>ราคาต่อหน่วย</x:v>
      </x:c>
      <x:c r="F4" s="6" t="str">
        <x:v>ยอดขาย</x:v>
      </x:c>
      <x:c r="G4" s="6" t="str">
        <x:v>แหล่งข้อมูล</x:v>
      </x:c>
    </x:row>
    <x:row r="5">
      <x:c r="A5" t="str">
        <x:v>2026-09-12</x:v>
      </x:c>
      <x:c r="B5" t="str">
        <x:v>pokemon</x:v>
      </x:c>
      <x:c r="C5" t="str">
        <x:v>Destined Rivals</x:v>
      </x:c>
      <x:c r="D5" s="7" t="n">
        <x:v>2</x:v>
      </x:c>
      <x:c r="E5" s="7" t="n">
        <x:v>5900</x:v>
      </x:c>
      <x:c r="F5" s="7" t="n">
        <x:f>D5*E5</x:f>
        <x:v>11800</x:v>
      </x:c>
      <x:c r="G5" t="str">
        <x:v>DEMO_SAMPLE</x:v>
      </x:c>
    </x:row>
    <x:row r="6">
      <x:c r="A6" t="str">
        <x:v>2026-09-14</x:v>
      </x:c>
      <x:c r="B6" t="str">
        <x:v>onepiece</x:v>
      </x:c>
      <x:c r="C6" t="str">
        <x:v>Romance Dawn [OP01]</x:v>
      </x:c>
      <x:c r="D6" s="7" t="n">
        <x:v>12</x:v>
      </x:c>
      <x:c r="E6" s="7" t="n">
        <x:v>190</x:v>
      </x:c>
      <x:c r="F6" s="7" t="n">
        <x:f>D6*E6</x:f>
        <x:v>2280</x:v>
      </x:c>
      <x:c r="G6" t="str">
        <x:v>DEMO_SAMPLE</x:v>
      </x:c>
    </x:row>
    <x:row r="7">
      <x:c r="A7" t="str">
        <x:v>2026-09-17</x:v>
      </x:c>
      <x:c r="B7" t="str">
        <x:v>gundam</x:v>
      </x:c>
      <x:c r="C7" t="str">
        <x:v>Heroic Beginnings [ST01]</x:v>
      </x:c>
      <x:c r="D7" s="7" t="n">
        <x:v>5</x:v>
      </x:c>
      <x:c r="E7" s="7" t="n">
        <x:v>690</x:v>
      </x:c>
      <x:c r="F7" s="7" t="n">
        <x:f>D7*E7</x:f>
        <x:v>3450</x:v>
      </x:c>
      <x:c r="G7" t="str">
        <x:v>DEMO_SAMPLE</x:v>
      </x:c>
    </x:row>
    <x:row r="8">
      <x:c r="A8" t="str">
        <x:v>2026-09-19</x:v>
      </x:c>
      <x:c r="B8" t="str">
        <x:v>pokemon</x:v>
      </x:c>
      <x:c r="C8" t="str">
        <x:v>Destined Rivals</x:v>
      </x:c>
      <x:c r="D8" s="7" t="n">
        <x:v>1</x:v>
      </x:c>
      <x:c r="E8" s="7" t="n">
        <x:v>5900</x:v>
      </x:c>
      <x:c r="F8" s="7" t="n">
        <x:f>D8*E8</x:f>
        <x:v>5900</x:v>
      </x:c>
      <x:c r="G8" t="str">
        <x:v>DEMO_SAMPLE</x:v>
      </x:c>
    </x:row>
    <x:row r="9">
      <x:c r="A9" t="str">
        <x:v>2026-09-21</x:v>
      </x:c>
      <x:c r="B9" t="str">
        <x:v>lorcana</x:v>
      </x:c>
      <x:c r="C9" t="str">
        <x:v>The First Chapter — Starter Set</x:v>
      </x:c>
      <x:c r="D9" s="7" t="n">
        <x:v>2</x:v>
      </x:c>
      <x:c r="E9" s="7" t="n">
        <x:v>2290</x:v>
      </x:c>
      <x:c r="F9" s="7" t="n">
        <x:f>D9*E9</x:f>
        <x:v>4580</x:v>
      </x:c>
      <x:c r="G9" t="str">
        <x:v>DEMO_SAMPLE</x:v>
      </x:c>
    </x:row>
    <x:row r="10">
      <x:c r="A10" t="str">
        <x:v>2026-09-24</x:v>
      </x:c>
      <x:c r="B10" t="str">
        <x:v>onepiece</x:v>
      </x:c>
      <x:c r="C10" t="str">
        <x:v>Romance Dawn [OP01]</x:v>
      </x:c>
      <x:c r="D10" s="7" t="n">
        <x:v>9</x:v>
      </x:c>
      <x:c r="E10" s="7" t="n">
        <x:v>190</x:v>
      </x:c>
      <x:c r="F10" s="7" t="n">
        <x:f>D10*E10</x:f>
        <x:v>1710</x:v>
      </x:c>
      <x:c r="G10" t="str">
        <x:v>DEMO_SAMPLE</x:v>
      </x:c>
    </x:row>
    <x:row r="11">
      <x:c r="A11" t="str">
        <x:v>2026-09-26</x:v>
      </x:c>
      <x:c r="B11" t="str">
        <x:v>gundam</x:v>
      </x:c>
      <x:c r="C11" t="str">
        <x:v>Heroic Beginnings [ST01]</x:v>
      </x:c>
      <x:c r="D11" s="7" t="n">
        <x:v>4</x:v>
      </x:c>
      <x:c r="E11" s="7" t="n">
        <x:v>690</x:v>
      </x:c>
      <x:c r="F11" s="7" t="n">
        <x:f>D11*E11</x:f>
        <x:v>2760</x:v>
      </x:c>
      <x:c r="G11" t="str">
        <x:v>DEMO_SAMPLE</x:v>
      </x:c>
    </x:row>
    <x:row r="12">
      <x:c r="A12" t="str">
        <x:v>2026-09-28</x:v>
      </x:c>
      <x:c r="B12" t="str">
        <x:v>pokemon</x:v>
      </x:c>
      <x:c r="C12" t="str">
        <x:v>Destined Rivals</x:v>
      </x:c>
      <x:c r="D12" s="7" t="n">
        <x:v>1</x:v>
      </x:c>
      <x:c r="E12" s="7" t="n">
        <x:v>5900</x:v>
      </x:c>
      <x:c r="F12" s="7" t="n">
        <x:f>D12*E12</x:f>
        <x:v>5900</x:v>
      </x:c>
      <x:c r="G12" t="str">
        <x:v>DEMO_SAMPLE</x:v>
      </x:c>
    </x:row>
    <x:row r="13">
      <x:c r="A13" t="str">
        <x:v>2026-10-01</x:v>
      </x:c>
      <x:c r="B13" t="str">
        <x:v>onepiece</x:v>
      </x:c>
      <x:c r="C13" t="str">
        <x:v>Romance Dawn [OP01]</x:v>
      </x:c>
      <x:c r="D13" s="7" t="n">
        <x:v>15</x:v>
      </x:c>
      <x:c r="E13" s="7" t="n">
        <x:v>190</x:v>
      </x:c>
      <x:c r="F13" s="7" t="n">
        <x:f>D13*E13</x:f>
        <x:v>2850</x:v>
      </x:c>
      <x:c r="G13" t="str">
        <x:v>DEMO_SAMPLE</x:v>
      </x:c>
    </x:row>
    <x:row r="14">
      <x:c r="A14" t="str">
        <x:v>2026-10-02</x:v>
      </x:c>
      <x:c r="B14" t="str">
        <x:v>lorcana</x:v>
      </x:c>
      <x:c r="C14" t="str">
        <x:v>The First Chapter — Starter Set</x:v>
      </x:c>
      <x:c r="D14" s="7" t="n">
        <x:v>1</x:v>
      </x:c>
      <x:c r="E14" s="7" t="n">
        <x:v>2290</x:v>
      </x:c>
      <x:c r="F14" s="7" t="n">
        <x:f>D14*E14</x:f>
        <x:v>2290</x:v>
      </x:c>
      <x:c r="G14" t="str">
        <x:v>DEMO_SAMPLE</x:v>
      </x:c>
    </x:row>
    <x:row r="15">
      <x:c r="A15" t="str">
        <x:v>2026-10-03</x:v>
      </x:c>
      <x:c r="B15" t="str">
        <x:v>gundam</x:v>
      </x:c>
      <x:c r="C15" t="str">
        <x:v>Heroic Beginnings [ST01]</x:v>
      </x:c>
      <x:c r="D15" s="7" t="n">
        <x:v>3</x:v>
      </x:c>
      <x:c r="E15" s="7" t="n">
        <x:v>690</x:v>
      </x:c>
      <x:c r="F15" s="7" t="n">
        <x:f>D15*E15</x:f>
        <x:v>2070</x:v>
      </x:c>
      <x:c r="G15" t="str">
        <x:v>DEMO_SAMPLE</x:v>
      </x:c>
    </x:row>
    <x:row r="16">
      <x:c r="A16" t="str">
        <x:v>2026-10-04</x:v>
      </x:c>
      <x:c r="B16" t="str">
        <x:v>pokemon</x:v>
      </x:c>
      <x:c r="C16" t="str">
        <x:v>Destined Rivals</x:v>
      </x:c>
      <x:c r="D16" s="7" t="n">
        <x:v>1</x:v>
      </x:c>
      <x:c r="E16" s="7" t="n">
        <x:v>5900</x:v>
      </x:c>
      <x:c r="F16" s="7" t="n">
        <x:f>D16*E16</x:f>
        <x:v>5900</x:v>
      </x:c>
      <x:c r="G16" t="str">
        <x:v>DEMO_SAMPLE</x:v>
      </x:c>
    </x:row>
  </x:sheetData>
  <x:pageMargins left="0.7" right="0.7" top="0.75" bottom="0.75" header="0.3" footer="0.3"/>
</x:worksheet>
</file>